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Summary" sheetId="3" state="visible" r:id="rId3"/>
  </sheets>
  <definedNames>
    <definedName name="GrowthRate">Assumptions!$B$2</definedName>
    <definedName name="COGSMargin">Assumptions!$B$3</definedName>
    <definedName name="TaxRate">Assumptions!$B$5</definedName>
    <definedName name="WACC">Assumptions!$B$6</definedName>
    <definedName name="InitialRevenue">Assumptions!$B$7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'P&amp;L'!$B$2:$F$2</f>
            </numRef>
          </cat>
          <val>
            <numRef>
              <f>'P&amp;L'!$B$3:$F$3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Revenue Growth Rate</t>
        </is>
      </c>
      <c r="B2" s="2" t="n">
        <v>0.08</v>
      </c>
      <c r="C2" t="inlineStr">
        <is>
          <t>%</t>
        </is>
      </c>
      <c r="D2" s="3" t="inlineStr">
        <is>
          <t>Year-over-year</t>
        </is>
      </c>
    </row>
    <row r="3">
      <c r="A3" t="inlineStr">
        <is>
          <t>COGS Margin</t>
        </is>
      </c>
      <c r="B3" s="2" t="n">
        <v>0.45</v>
      </c>
      <c r="C3" t="inlineStr">
        <is>
          <t>%</t>
        </is>
      </c>
      <c r="D3" s="3" t="inlineStr">
        <is>
          <t>% of revenue</t>
        </is>
      </c>
    </row>
    <row r="4">
      <c r="A4" t="inlineStr">
        <is>
          <t>OpEx Growth Rate</t>
        </is>
      </c>
      <c r="B4" s="2" t="n">
        <v>0.05</v>
      </c>
      <c r="C4" t="inlineStr">
        <is>
          <t>%</t>
        </is>
      </c>
      <c r="D4" s="3" t="inlineStr">
        <is>
          <t>Annual increase</t>
        </is>
      </c>
    </row>
    <row r="5">
      <c r="A5" t="inlineStr">
        <is>
          <t>Tax Rate</t>
        </is>
      </c>
      <c r="B5" s="2" t="n">
        <v>0.21</v>
      </c>
      <c r="C5" t="inlineStr">
        <is>
          <t>%</t>
        </is>
      </c>
      <c r="D5" s="3" t="inlineStr">
        <is>
          <t>Federal + State</t>
        </is>
      </c>
    </row>
    <row r="6">
      <c r="A6" t="inlineStr">
        <is>
          <t>Discount Rate (WACC)</t>
        </is>
      </c>
      <c r="B6" s="2" t="n">
        <v>0.1</v>
      </c>
      <c r="C6" t="inlineStr">
        <is>
          <t>%</t>
        </is>
      </c>
      <c r="D6" s="3" t="inlineStr">
        <is>
          <t>Risk-adjusted</t>
        </is>
      </c>
    </row>
    <row r="7">
      <c r="A7" t="inlineStr">
        <is>
          <t>Initial Revenue</t>
        </is>
      </c>
      <c r="B7" s="4" t="n">
        <v>10000000</v>
      </c>
      <c r="C7" t="inlineStr">
        <is>
          <t>$</t>
        </is>
      </c>
      <c r="D7" s="3" t="inlineStr">
        <is>
          <t>Year 0 baseline</t>
        </is>
      </c>
    </row>
    <row r="8">
      <c r="A8" t="inlineStr">
        <is>
          <t>Initial OpEx</t>
        </is>
      </c>
      <c r="B8" s="4" t="n">
        <v>3000000</v>
      </c>
      <c r="C8" t="inlineStr">
        <is>
          <t>$</t>
        </is>
      </c>
      <c r="D8" s="3" t="inlineStr">
        <is>
          <t>Year 0 baseline</t>
        </is>
      </c>
    </row>
    <row r="9">
      <c r="A9" t="inlineStr">
        <is>
          <t>CapEx (Annual)</t>
        </is>
      </c>
      <c r="B9" s="4" t="n">
        <v>500000</v>
      </c>
      <c r="C9" t="inlineStr">
        <is>
          <t>$</t>
        </is>
      </c>
      <c r="D9" s="3" t="inlineStr">
        <is>
          <t>Flat assumption</t>
        </is>
      </c>
    </row>
    <row r="10">
      <c r="A10" t="inlineStr">
        <is>
          <t>Working Capital % Rev</t>
        </is>
      </c>
      <c r="B10" s="2" t="n">
        <v>0.12</v>
      </c>
      <c r="C10" t="inlineStr">
        <is>
          <t>%</t>
        </is>
      </c>
      <c r="D10" s="3" t="inlineStr">
        <is>
          <t>NWC/Revenue</t>
        </is>
      </c>
    </row>
    <row r="11">
      <c r="A11" t="inlineStr">
        <is>
          <t>Terminal Growth Rate</t>
        </is>
      </c>
      <c r="B11" s="2" t="n">
        <v>0.025</v>
      </c>
      <c r="C11" t="inlineStr">
        <is>
          <t>%</t>
        </is>
      </c>
      <c r="D11" s="3" t="inlineStr">
        <is>
          <t>Long-term GDP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Income Statement</t>
        </is>
      </c>
    </row>
    <row r="2">
      <c r="A2" s="6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3">
      <c r="A3" s="8" t="inlineStr">
        <is>
          <t>Revenue</t>
        </is>
      </c>
      <c r="B3" s="9">
        <f>Assumptions!B7*(1+Assumptions!B2)</f>
        <v/>
      </c>
      <c r="C3" s="9">
        <f>B3*(1+Assumptions!$B$2)</f>
        <v/>
      </c>
      <c r="D3" s="9">
        <f>C3*(1+Assumptions!$B$2)</f>
        <v/>
      </c>
      <c r="E3" s="9">
        <f>D3*(1+Assumptions!$B$2)</f>
        <v/>
      </c>
      <c r="F3" s="9">
        <f>E3*(1+Assumptions!$B$2)</f>
        <v/>
      </c>
    </row>
    <row r="4">
      <c r="A4" s="10" t="inlineStr">
        <is>
          <t>COGS</t>
        </is>
      </c>
      <c r="B4" s="9">
        <f>-B3*Assumptions!$B$3</f>
        <v/>
      </c>
      <c r="C4" s="9">
        <f>-C3*Assumptions!$B$3</f>
        <v/>
      </c>
      <c r="D4" s="9">
        <f>-D3*Assumptions!$B$3</f>
        <v/>
      </c>
      <c r="E4" s="9">
        <f>-E3*Assumptions!$B$3</f>
        <v/>
      </c>
      <c r="F4" s="9">
        <f>-F3*Assumptions!$B$3</f>
        <v/>
      </c>
    </row>
    <row r="5">
      <c r="A5" s="8" t="inlineStr">
        <is>
          <t>Gross Profit</t>
        </is>
      </c>
      <c r="B5" s="11">
        <f>B3+B4</f>
        <v/>
      </c>
      <c r="C5" s="11">
        <f>C3+C4</f>
        <v/>
      </c>
      <c r="D5" s="11">
        <f>D3+D4</f>
        <v/>
      </c>
      <c r="E5" s="11">
        <f>E3+E4</f>
        <v/>
      </c>
      <c r="F5" s="11">
        <f>F3+F4</f>
        <v/>
      </c>
    </row>
    <row r="6">
      <c r="A6" s="10" t="inlineStr">
        <is>
          <t>Operating Expenses</t>
        </is>
      </c>
      <c r="B6" s="9">
        <f>-Assumptions!B8*(1+Assumptions!B4)</f>
        <v/>
      </c>
      <c r="C6" s="9">
        <f>B6*(1+Assumptions!$B$4)</f>
        <v/>
      </c>
      <c r="D6" s="9">
        <f>C6*(1+Assumptions!$B$4)</f>
        <v/>
      </c>
      <c r="E6" s="9">
        <f>D6*(1+Assumptions!$B$4)</f>
        <v/>
      </c>
      <c r="F6" s="9">
        <f>E6*(1+Assumptions!$B$4)</f>
        <v/>
      </c>
    </row>
    <row r="7">
      <c r="A7" s="8" t="inlineStr">
        <is>
          <t>EBIT</t>
        </is>
      </c>
      <c r="B7" s="11">
        <f>B5+B6</f>
        <v/>
      </c>
      <c r="C7" s="11">
        <f>C5+C6</f>
        <v/>
      </c>
      <c r="D7" s="11">
        <f>D5+D6</f>
        <v/>
      </c>
      <c r="E7" s="11">
        <f>E5+E6</f>
        <v/>
      </c>
      <c r="F7" s="11">
        <f>F5+F6</f>
        <v/>
      </c>
    </row>
    <row r="8">
      <c r="A8" s="10" t="inlineStr">
        <is>
          <t>Tax</t>
        </is>
      </c>
      <c r="B8" s="9">
        <f>-MAX(B7*Assumptions!$B$5,0)</f>
        <v/>
      </c>
      <c r="C8" s="9">
        <f>-MAX(C7*Assumptions!$B$5,0)</f>
        <v/>
      </c>
      <c r="D8" s="9">
        <f>-MAX(D7*Assumptions!$B$5,0)</f>
        <v/>
      </c>
      <c r="E8" s="9">
        <f>-MAX(E7*Assumptions!$B$5,0)</f>
        <v/>
      </c>
      <c r="F8" s="9">
        <f>-MAX(F7*Assumptions!$B$5,0)</f>
        <v/>
      </c>
    </row>
    <row r="9">
      <c r="A9" s="12" t="inlineStr">
        <is>
          <t>Net Income</t>
        </is>
      </c>
      <c r="B9" s="13">
        <f>B7+B8</f>
        <v/>
      </c>
      <c r="C9" s="13">
        <f>C7+C8</f>
        <v/>
      </c>
      <c r="D9" s="13">
        <f>D7+D8</f>
        <v/>
      </c>
      <c r="E9" s="13">
        <f>E7+E8</f>
        <v/>
      </c>
      <c r="F9" s="13">
        <f>F7+F8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5-Year Financial Summary</t>
        </is>
      </c>
    </row>
    <row r="3">
      <c r="A3" t="inlineStr">
        <is>
          <t>Total Revenue (5yr)</t>
        </is>
      </c>
      <c r="B3" s="4">
        <f>SUM('P&amp;L'!B3:F3)</f>
        <v/>
      </c>
    </row>
    <row r="4">
      <c r="A4" t="inlineStr">
        <is>
          <t>Total Net Income (5yr)</t>
        </is>
      </c>
      <c r="B4" s="4">
        <f>SUM('P&amp;L'!B9:F9)</f>
        <v/>
      </c>
    </row>
    <row r="5">
      <c r="A5" t="inlineStr">
        <is>
          <t>Average Net Margin</t>
        </is>
      </c>
      <c r="B5" s="2">
        <f>B4/B3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2026-03-01T07:50:51Z</dcterms:created>
  <dcterms:modified xmlns:dcterms="http://purl.org/dc/terms/" xmlns:xsi="http://www.w3.org/2001/XMLSchema-instance" xsi:type="dcterms:W3CDTF">2026-03-01T07:50:51Z</dcterms:modified>
</cp:coreProperties>
</file>