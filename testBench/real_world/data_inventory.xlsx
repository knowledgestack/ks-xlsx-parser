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hidden="1" width="13" customWidth="1" min="4" max="4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Unit Cost</t>
        </is>
      </c>
      <c r="F1" s="1" t="inlineStr">
        <is>
          <t>Qty on Hand</t>
        </is>
      </c>
      <c r="G1" s="1" t="inlineStr">
        <is>
          <t>Reorder Level</t>
        </is>
      </c>
      <c r="H1" s="1" t="inlineStr">
        <is>
          <t>Status</t>
        </is>
      </c>
      <c r="I1" s="2" t="inlineStr">
        <is>
          <t>Sales Jan</t>
        </is>
      </c>
      <c r="J1" s="2" t="inlineStr">
        <is>
          <t>Sales Feb</t>
        </is>
      </c>
      <c r="K1" s="2" t="inlineStr">
        <is>
          <t>Sales Mar</t>
        </is>
      </c>
      <c r="L1" s="2" t="inlineStr">
        <is>
          <t>Sales Apr</t>
        </is>
      </c>
      <c r="M1" s="2" t="inlineStr">
        <is>
          <t>Sales May</t>
        </is>
      </c>
      <c r="N1" s="2" t="inlineStr">
        <is>
          <t>Sales Jun</t>
        </is>
      </c>
      <c r="O1" s="2" t="inlineStr">
        <is>
          <t>Sales Jul</t>
        </is>
      </c>
      <c r="P1" s="2" t="inlineStr">
        <is>
          <t>Sales Aug</t>
        </is>
      </c>
      <c r="Q1" s="2" t="inlineStr">
        <is>
          <t>Sales Sep</t>
        </is>
      </c>
      <c r="R1" s="2" t="inlineStr">
        <is>
          <t>Sales Oct</t>
        </is>
      </c>
      <c r="S1" s="2" t="inlineStr">
        <is>
          <t>Sales Nov</t>
        </is>
      </c>
      <c r="T1" s="2" t="inlineStr">
        <is>
          <t>Sales Dec</t>
        </is>
      </c>
      <c r="U1" s="2" t="inlineStr">
        <is>
          <t>YTD Sales</t>
        </is>
      </c>
      <c r="V1" s="2" t="inlineStr">
        <is>
          <t>YTD Revenue</t>
        </is>
      </c>
    </row>
    <row r="2">
      <c r="A2" t="inlineStr">
        <is>
          <t>SKU-001</t>
        </is>
      </c>
      <c r="B2" t="inlineStr">
        <is>
          <t>Bolt M8x30</t>
        </is>
      </c>
      <c r="C2" t="inlineStr">
        <is>
          <t>Fasteners</t>
        </is>
      </c>
      <c r="D2" t="inlineStr">
        <is>
          <t>SupplierA</t>
        </is>
      </c>
      <c r="E2" s="3" t="n">
        <v>0.15</v>
      </c>
      <c r="F2" t="n">
        <v>962</v>
      </c>
      <c r="G2" t="n">
        <v>13</v>
      </c>
      <c r="H2" t="inlineStr">
        <is>
          <t>Active</t>
        </is>
      </c>
      <c r="I2" t="n">
        <v>125</v>
      </c>
      <c r="K2" t="n">
        <v>346</v>
      </c>
      <c r="L2" t="n">
        <v>279</v>
      </c>
      <c r="N2" t="n">
        <v>15</v>
      </c>
      <c r="Q2" t="n">
        <v>287</v>
      </c>
      <c r="S2" t="n">
        <v>279</v>
      </c>
      <c r="T2" t="n">
        <v>229</v>
      </c>
      <c r="U2">
        <f>SUM(I2:T2)</f>
        <v/>
      </c>
      <c r="V2" s="3">
        <f>U2*E2</f>
        <v/>
      </c>
    </row>
    <row r="3">
      <c r="A3" t="inlineStr">
        <is>
          <t>SKU-002</t>
        </is>
      </c>
      <c r="B3" t="inlineStr">
        <is>
          <t>Nut M8</t>
        </is>
      </c>
      <c r="C3" t="inlineStr">
        <is>
          <t>Fasteners</t>
        </is>
      </c>
      <c r="D3" t="inlineStr">
        <is>
          <t>SupplierA</t>
        </is>
      </c>
      <c r="E3" s="3" t="n">
        <v>0.08</v>
      </c>
      <c r="F3" t="n">
        <v>4877</v>
      </c>
      <c r="G3" t="n">
        <v>45</v>
      </c>
      <c r="H3" t="inlineStr">
        <is>
          <t>Active</t>
        </is>
      </c>
      <c r="I3" t="n">
        <v>3</v>
      </c>
      <c r="J3" t="n">
        <v>81</v>
      </c>
      <c r="K3" t="n">
        <v>174</v>
      </c>
      <c r="N3" t="n">
        <v>52</v>
      </c>
      <c r="Q3" t="n">
        <v>309</v>
      </c>
      <c r="T3" t="n">
        <v>63</v>
      </c>
      <c r="U3">
        <f>SUM(I3:T3)</f>
        <v/>
      </c>
      <c r="V3" s="3">
        <f>U3*E3</f>
        <v/>
      </c>
    </row>
    <row r="4">
      <c r="A4" t="inlineStr">
        <is>
          <t>SKU-003</t>
        </is>
      </c>
      <c r="B4" t="inlineStr">
        <is>
          <t>Washer M8</t>
        </is>
      </c>
      <c r="C4" t="inlineStr">
        <is>
          <t>Fasteners</t>
        </is>
      </c>
      <c r="D4" t="inlineStr">
        <is>
          <t>SupplierA</t>
        </is>
      </c>
      <c r="E4" s="3" t="n">
        <v>0.05</v>
      </c>
      <c r="F4" t="n">
        <v>3150</v>
      </c>
      <c r="G4" t="n">
        <v>20</v>
      </c>
      <c r="H4" t="inlineStr">
        <is>
          <t>Active</t>
        </is>
      </c>
      <c r="I4" t="n">
        <v>424</v>
      </c>
      <c r="J4" t="n">
        <v>453</v>
      </c>
      <c r="K4" t="n">
        <v>295</v>
      </c>
      <c r="N4" t="n">
        <v>395</v>
      </c>
      <c r="T4" t="n">
        <v>186</v>
      </c>
      <c r="U4">
        <f>SUM(I4:T4)</f>
        <v/>
      </c>
      <c r="V4" s="3">
        <f>U4*E4</f>
        <v/>
      </c>
    </row>
    <row r="5">
      <c r="A5" t="inlineStr">
        <is>
          <t>SKU-010</t>
        </is>
      </c>
      <c r="B5" t="inlineStr">
        <is>
          <t>Pipe 25mm</t>
        </is>
      </c>
      <c r="C5" t="inlineStr">
        <is>
          <t>Plumbing</t>
        </is>
      </c>
      <c r="D5" t="inlineStr">
        <is>
          <t>SupplierB</t>
        </is>
      </c>
      <c r="E5" s="3" t="n">
        <v>12.5</v>
      </c>
      <c r="F5" t="n">
        <v>1382</v>
      </c>
      <c r="G5" t="n">
        <v>57</v>
      </c>
      <c r="H5" t="inlineStr">
        <is>
          <t>Active</t>
        </is>
      </c>
      <c r="I5" t="n">
        <v>343</v>
      </c>
      <c r="K5" t="n">
        <v>331</v>
      </c>
      <c r="M5" t="n">
        <v>273</v>
      </c>
      <c r="N5" t="n">
        <v>83</v>
      </c>
      <c r="O5" t="n">
        <v>138</v>
      </c>
      <c r="P5" t="n">
        <v>327</v>
      </c>
      <c r="Q5" t="n">
        <v>112</v>
      </c>
      <c r="R5" t="n">
        <v>431</v>
      </c>
      <c r="S5" t="n">
        <v>28</v>
      </c>
      <c r="U5">
        <f>SUM(I5:T5)</f>
        <v/>
      </c>
      <c r="V5" s="3">
        <f>U5*E5</f>
        <v/>
      </c>
    </row>
    <row r="6">
      <c r="A6" t="inlineStr">
        <is>
          <t>SKU-011</t>
        </is>
      </c>
      <c r="B6" t="inlineStr">
        <is>
          <t>Elbow 25mm</t>
        </is>
      </c>
      <c r="C6" t="inlineStr">
        <is>
          <t>Plumbing</t>
        </is>
      </c>
      <c r="D6" t="inlineStr">
        <is>
          <t>SupplierB</t>
        </is>
      </c>
      <c r="E6" s="3" t="n">
        <v>3.2</v>
      </c>
      <c r="F6" t="n">
        <v>312</v>
      </c>
      <c r="G6" t="n">
        <v>50</v>
      </c>
      <c r="H6" t="inlineStr">
        <is>
          <t>Active</t>
        </is>
      </c>
      <c r="I6" t="n">
        <v>33</v>
      </c>
      <c r="K6" t="n">
        <v>448</v>
      </c>
      <c r="L6" t="n">
        <v>108</v>
      </c>
      <c r="M6" t="n">
        <v>202</v>
      </c>
      <c r="N6" t="n">
        <v>329</v>
      </c>
      <c r="O6" t="n">
        <v>135</v>
      </c>
      <c r="Q6" t="n">
        <v>275</v>
      </c>
      <c r="S6" t="n">
        <v>459</v>
      </c>
      <c r="T6" t="n">
        <v>185</v>
      </c>
      <c r="U6">
        <f>SUM(I6:T6)</f>
        <v/>
      </c>
      <c r="V6" s="3">
        <f>U6*E6</f>
        <v/>
      </c>
    </row>
    <row r="7">
      <c r="A7" t="inlineStr">
        <is>
          <t>SKU-020</t>
        </is>
      </c>
      <c r="B7" t="inlineStr">
        <is>
          <t>Cable 2.5mm</t>
        </is>
      </c>
      <c r="C7" t="inlineStr">
        <is>
          <t>Electrical</t>
        </is>
      </c>
      <c r="D7" t="inlineStr">
        <is>
          <t>SupplierC</t>
        </is>
      </c>
      <c r="E7" s="3" t="n">
        <v>1.8</v>
      </c>
      <c r="F7" t="n">
        <v>1846</v>
      </c>
      <c r="G7" t="n">
        <v>27</v>
      </c>
      <c r="H7" t="inlineStr">
        <is>
          <t>Active</t>
        </is>
      </c>
      <c r="I7" t="n">
        <v>46</v>
      </c>
      <c r="J7" t="n">
        <v>440</v>
      </c>
      <c r="L7" t="n">
        <v>405</v>
      </c>
      <c r="M7" t="n">
        <v>305</v>
      </c>
      <c r="O7" t="n">
        <v>239</v>
      </c>
      <c r="P7" t="n">
        <v>497</v>
      </c>
      <c r="Q7" t="n">
        <v>482</v>
      </c>
      <c r="S7" t="n">
        <v>349</v>
      </c>
      <c r="T7" t="n">
        <v>384</v>
      </c>
      <c r="U7">
        <f>SUM(I7:T7)</f>
        <v/>
      </c>
      <c r="V7" s="3">
        <f>U7*E7</f>
        <v/>
      </c>
    </row>
    <row r="8">
      <c r="A8" t="inlineStr">
        <is>
          <t>SKU-021</t>
        </is>
      </c>
      <c r="B8" t="inlineStr">
        <is>
          <t>Switch 10A</t>
        </is>
      </c>
      <c r="C8" t="inlineStr">
        <is>
          <t>Electrical</t>
        </is>
      </c>
      <c r="D8" t="inlineStr">
        <is>
          <t>SupplierC</t>
        </is>
      </c>
      <c r="E8" s="3" t="n">
        <v>4.5</v>
      </c>
      <c r="F8" t="n">
        <v>2235</v>
      </c>
      <c r="G8" t="n">
        <v>92</v>
      </c>
      <c r="H8" t="inlineStr">
        <is>
          <t>Active</t>
        </is>
      </c>
      <c r="I8" t="n">
        <v>150</v>
      </c>
      <c r="J8" t="n">
        <v>232</v>
      </c>
      <c r="L8" t="n">
        <v>368</v>
      </c>
      <c r="N8" t="n">
        <v>91</v>
      </c>
      <c r="O8" t="n">
        <v>54</v>
      </c>
      <c r="P8" t="n">
        <v>152</v>
      </c>
      <c r="Q8" t="n">
        <v>259</v>
      </c>
      <c r="R8" t="n">
        <v>78</v>
      </c>
      <c r="S8" t="n">
        <v>82</v>
      </c>
      <c r="T8" t="n">
        <v>398</v>
      </c>
      <c r="U8">
        <f>SUM(I8:T8)</f>
        <v/>
      </c>
      <c r="V8" s="3">
        <f>U8*E8</f>
        <v/>
      </c>
    </row>
    <row r="9">
      <c r="A9" t="inlineStr">
        <is>
          <t>SKU-030</t>
        </is>
      </c>
      <c r="B9" t="inlineStr">
        <is>
          <t>Timber 2x4</t>
        </is>
      </c>
      <c r="C9" t="inlineStr">
        <is>
          <t>Lumber</t>
        </is>
      </c>
      <c r="D9" t="inlineStr">
        <is>
          <t>SupplierD</t>
        </is>
      </c>
      <c r="E9" s="3" t="n">
        <v>8</v>
      </c>
      <c r="F9" t="n">
        <v>4394</v>
      </c>
      <c r="G9" t="n">
        <v>10</v>
      </c>
      <c r="H9" t="inlineStr">
        <is>
          <t>Active</t>
        </is>
      </c>
      <c r="I9" t="n">
        <v>250</v>
      </c>
      <c r="K9" t="n">
        <v>449</v>
      </c>
      <c r="L9" t="n">
        <v>413</v>
      </c>
      <c r="M9" t="n">
        <v>29</v>
      </c>
      <c r="O9" t="n">
        <v>40</v>
      </c>
      <c r="Q9" t="n">
        <v>35</v>
      </c>
      <c r="R9" t="n">
        <v>272</v>
      </c>
      <c r="S9" t="n">
        <v>65</v>
      </c>
      <c r="T9" t="n">
        <v>484</v>
      </c>
      <c r="U9">
        <f>SUM(I9:T9)</f>
        <v/>
      </c>
      <c r="V9" s="3">
        <f>U9*E9</f>
        <v/>
      </c>
    </row>
  </sheetData>
  <conditionalFormatting sqref="H2:H9">
    <cfRule type="cellIs" priority="1" operator="equal" dxfId="0">
      <formula>"Active"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2026-03-01T07:50:51Z</dcterms:created>
  <dcterms:modified xmlns:dcterms="http://purl.org/dc/terms/" xmlns:xsi="http://www.w3.org/2001/XMLSchema-instance" xsi:type="dcterms:W3CDTF">2026-03-01T07:50:51Z</dcterms:modified>
</cp:coreProperties>
</file>