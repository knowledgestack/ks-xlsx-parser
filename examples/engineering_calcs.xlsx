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Design" sheetId="1" state="visible" r:id="rId1"/>
  </sheets>
  <definedNames>
    <definedName name="DesignMoment">'Beam Design'!$C$15</definedName>
    <definedName name="RequiredSx">'Beam Design'!$C$16</definedName>
    <definedName name="_xlnm.Print_Area" localSheetId="0">'Beam Design'!$A$1:$D$22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2"/>
    </font>
    <font>
      <i val="1"/>
    </font>
    <font>
      <color rgb="00808080"/>
    </font>
    <font>
      <b val="1"/>
      <color rgb="00006100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4" fontId="6" fillId="2" borderId="0" pivotButton="0" quotePrefix="0" xfId="0"/>
    <xf numFmtId="3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3" max="3"/>
  </cols>
  <sheetData>
    <row r="1">
      <c r="A1" s="1" t="inlineStr">
        <is>
          <t>Steel Beam Design Calculator</t>
        </is>
      </c>
    </row>
    <row r="3">
      <c r="A3" s="2" t="inlineStr">
        <is>
          <t>INPUTS</t>
        </is>
      </c>
    </row>
    <row r="4">
      <c r="A4" t="inlineStr">
        <is>
          <t>Span Length</t>
        </is>
      </c>
      <c r="B4" s="3" t="inlineStr">
        <is>
          <t>L</t>
        </is>
      </c>
      <c r="C4" t="n">
        <v>6</v>
      </c>
      <c r="D4" s="4" t="inlineStr">
        <is>
          <t>m</t>
        </is>
      </c>
    </row>
    <row r="5">
      <c r="A5" t="inlineStr">
        <is>
          <t>Distributed Load</t>
        </is>
      </c>
      <c r="B5" s="3" t="inlineStr">
        <is>
          <t>w</t>
        </is>
      </c>
      <c r="C5" t="n">
        <v>25</v>
      </c>
      <c r="D5" s="4" t="inlineStr">
        <is>
          <t>kN/m</t>
        </is>
      </c>
    </row>
    <row r="6">
      <c r="A6" t="inlineStr">
        <is>
          <t>Point Load (mid-span)</t>
        </is>
      </c>
      <c r="B6" s="3" t="inlineStr">
        <is>
          <t>P</t>
        </is>
      </c>
      <c r="C6" t="n">
        <v>50</v>
      </c>
      <c r="D6" s="4" t="inlineStr">
        <is>
          <t>kN</t>
        </is>
      </c>
    </row>
    <row r="7">
      <c r="A7" t="inlineStr">
        <is>
          <t>Steel Yield Strength</t>
        </is>
      </c>
      <c r="B7" s="3" t="inlineStr">
        <is>
          <t>fy</t>
        </is>
      </c>
      <c r="C7" t="n">
        <v>250</v>
      </c>
      <c r="D7" s="4" t="inlineStr">
        <is>
          <t>MPa</t>
        </is>
      </c>
    </row>
    <row r="8">
      <c r="A8" t="inlineStr">
        <is>
          <t>Elastic Modulus</t>
        </is>
      </c>
      <c r="B8" s="3" t="inlineStr">
        <is>
          <t>E</t>
        </is>
      </c>
      <c r="C8" t="n">
        <v>200000</v>
      </c>
      <c r="D8" s="4" t="inlineStr">
        <is>
          <t>MPa</t>
        </is>
      </c>
    </row>
    <row r="9">
      <c r="A9" t="inlineStr">
        <is>
          <t>Safety Factor</t>
        </is>
      </c>
      <c r="B9" s="3" t="inlineStr">
        <is>
          <t>SF</t>
        </is>
      </c>
      <c r="C9" t="n">
        <v>1.5</v>
      </c>
      <c r="D9" s="4" t="inlineStr">
        <is>
          <t>—</t>
        </is>
      </c>
    </row>
    <row r="11">
      <c r="A11" s="2" t="inlineStr">
        <is>
          <t>CALCULATIONS</t>
        </is>
      </c>
    </row>
    <row r="12">
      <c r="A12" t="inlineStr">
        <is>
          <t>Max Moment (distributed)</t>
        </is>
      </c>
      <c r="B12" s="3" t="inlineStr">
        <is>
          <t>Mw</t>
        </is>
      </c>
      <c r="C12" s="5">
        <f>C5*C4^2/8</f>
        <v/>
      </c>
      <c r="D12" s="4" t="inlineStr">
        <is>
          <t>kN·m</t>
        </is>
      </c>
    </row>
    <row r="13">
      <c r="A13" t="inlineStr">
        <is>
          <t>Max Moment (point load)</t>
        </is>
      </c>
      <c r="B13" s="3" t="inlineStr">
        <is>
          <t>Mp</t>
        </is>
      </c>
      <c r="C13" s="5">
        <f>C6*C4/4</f>
        <v/>
      </c>
      <c r="D13" s="4" t="inlineStr">
        <is>
          <t>kN·m</t>
        </is>
      </c>
    </row>
    <row r="14">
      <c r="A14" t="inlineStr">
        <is>
          <t>Total Max Moment</t>
        </is>
      </c>
      <c r="B14" s="3" t="inlineStr">
        <is>
          <t>Mtotal</t>
        </is>
      </c>
      <c r="C14" s="5">
        <f>C12+C13</f>
        <v/>
      </c>
      <c r="D14" s="4" t="inlineStr">
        <is>
          <t>kN·m</t>
        </is>
      </c>
    </row>
    <row r="15">
      <c r="A15" t="inlineStr">
        <is>
          <t>Design Moment</t>
        </is>
      </c>
      <c r="B15" s="3" t="inlineStr">
        <is>
          <t>Md</t>
        </is>
      </c>
      <c r="C15" s="5">
        <f>C14*C9</f>
        <v/>
      </c>
      <c r="D15" s="4" t="inlineStr">
        <is>
          <t>kN·m</t>
        </is>
      </c>
    </row>
    <row r="16">
      <c r="A16" t="inlineStr">
        <is>
          <t>Required Section Modulus</t>
        </is>
      </c>
      <c r="B16" s="3" t="inlineStr">
        <is>
          <t>Sx_req</t>
        </is>
      </c>
      <c r="C16" s="5">
        <f>C15*1000000/C7</f>
        <v/>
      </c>
      <c r="D16" s="4" t="inlineStr">
        <is>
          <t>mm³</t>
        </is>
      </c>
    </row>
    <row r="17">
      <c r="A17" t="inlineStr">
        <is>
          <t>Max Deflection (distributed)</t>
        </is>
      </c>
      <c r="B17" s="3" t="inlineStr">
        <is>
          <t>δw</t>
        </is>
      </c>
      <c r="C17" s="5">
        <f>5*C5*C4^4/(384*C8*1000)</f>
        <v/>
      </c>
      <c r="D17" s="4" t="inlineStr">
        <is>
          <t>mm (approx)</t>
        </is>
      </c>
    </row>
    <row r="18">
      <c r="A18" t="inlineStr">
        <is>
          <t>Max Deflection (point load)</t>
        </is>
      </c>
      <c r="B18" s="3" t="inlineStr">
        <is>
          <t>δp</t>
        </is>
      </c>
      <c r="C18" s="5">
        <f>C6*C4^3/(48*C8*1000)</f>
        <v/>
      </c>
      <c r="D18" s="4" t="inlineStr">
        <is>
          <t>mm (approx)</t>
        </is>
      </c>
    </row>
    <row r="20">
      <c r="A20" s="6" t="inlineStr">
        <is>
          <t>RESULTS</t>
        </is>
      </c>
    </row>
    <row r="21">
      <c r="A21" t="inlineStr">
        <is>
          <t>Design Moment</t>
        </is>
      </c>
      <c r="B21" t="inlineStr">
        <is>
          <t>Md</t>
        </is>
      </c>
      <c r="C21" s="7">
        <f>C15</f>
        <v/>
      </c>
      <c r="D21" t="inlineStr">
        <is>
          <t>kN·m</t>
        </is>
      </c>
    </row>
    <row r="22">
      <c r="A22" t="inlineStr">
        <is>
          <t>Required Sx</t>
        </is>
      </c>
      <c r="B22" t="inlineStr">
        <is>
          <t>Sx</t>
        </is>
      </c>
      <c r="C22" s="8">
        <f>C16</f>
        <v/>
      </c>
      <c r="D22" t="inlineStr">
        <is>
          <t>mm³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2026-03-01T07:50:51Z</dcterms:created>
  <dcterms:modified xmlns:dcterms="http://purl.org/dc/terms/" xmlns:xsi="http://www.w3.org/2001/XMLSchema-instance" xsi:type="dcterms:W3CDTF">2026-03-01T07:50:51Z</dcterms:modified>
</cp:coreProperties>
</file>